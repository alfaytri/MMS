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id\Downloads\"/>
    </mc:Choice>
  </mc:AlternateContent>
  <xr:revisionPtr revIDLastSave="0" documentId="8_{9944C8AA-1D89-4855-A2E7-D41E3F03225D}" xr6:coauthVersionLast="47" xr6:coauthVersionMax="47" xr10:uidLastSave="{00000000-0000-0000-0000-000000000000}"/>
  <bookViews>
    <workbookView xWindow="-28920" yWindow="2310" windowWidth="29040" windowHeight="15720" xr2:uid="{25D3785E-8E4C-4E26-96FC-43A8CB034C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1" l="1"/>
  <c r="J14" i="1"/>
  <c r="H14" i="1"/>
  <c r="G14" i="1"/>
  <c r="F14" i="1"/>
  <c r="C16" i="1"/>
  <c r="C15" i="1"/>
  <c r="C14" i="1"/>
  <c r="C3" i="1"/>
  <c r="D10" i="1" s="1"/>
  <c r="B4" i="1"/>
  <c r="C2" i="1" s="1"/>
  <c r="C8" i="1" l="1"/>
  <c r="C9" i="1"/>
  <c r="C10" i="1"/>
  <c r="C11" i="1"/>
  <c r="D9" i="1"/>
  <c r="D8" i="1"/>
  <c r="D11" i="1"/>
  <c r="D12" i="1" l="1"/>
  <c r="C12" i="1"/>
  <c r="D15" i="1" l="1"/>
  <c r="D14" i="1"/>
  <c r="D16" i="1"/>
</calcChain>
</file>

<file path=xl/sharedStrings.xml><?xml version="1.0" encoding="utf-8"?>
<sst xmlns="http://schemas.openxmlformats.org/spreadsheetml/2006/main" count="25" uniqueCount="25">
  <si>
    <t>PO 1</t>
  </si>
  <si>
    <t>PO 2</t>
  </si>
  <si>
    <t>Value</t>
  </si>
  <si>
    <t>%</t>
  </si>
  <si>
    <t>Bank</t>
  </si>
  <si>
    <t>cuist</t>
  </si>
  <si>
    <t>shi</t>
  </si>
  <si>
    <t>Hnad</t>
  </si>
  <si>
    <t>Po1</t>
  </si>
  <si>
    <t>Po2</t>
  </si>
  <si>
    <t>Unti A</t>
  </si>
  <si>
    <t>Unti B</t>
  </si>
  <si>
    <t>Unti C</t>
  </si>
  <si>
    <t>Pcs</t>
  </si>
  <si>
    <t>Shiping cost for Purchse order</t>
  </si>
  <si>
    <t>Shiping cost for Each Prodiuct in PO</t>
  </si>
  <si>
    <t>Divide product shiping cost into pcs</t>
  </si>
  <si>
    <t xml:space="preserve">Each pcs purchasce price + each pcs shiping cost = Unit cost </t>
  </si>
  <si>
    <t xml:space="preserve">unit cost * profit margin = Unite price </t>
  </si>
  <si>
    <t>unite PO Vlue</t>
  </si>
  <si>
    <t xml:space="preserve">unite Shiping cost </t>
  </si>
  <si>
    <t>Unit cost</t>
  </si>
  <si>
    <t>margin</t>
  </si>
  <si>
    <t>Profit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</si>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</sst>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2" applyFont="1"/>
    <xf numFmtId="164" fontId="0" fillId="0" borderId="0" xfId="2" applyNumberFormat="1" applyFont="1"/>
    <xf numFmtId="0" fontId="2" fillId="0" borderId="0" xfId="0" applyFont="1"/>
    <xf numFmtId="0" fontId="0" fillId="0" borderId="0" xfId="0" applyAlignment="1">
      <alignment wrapText="1"/>
    </xf>
    <xf numFmtId="43" fontId="0" fillId="0" borderId="0" xfId="1" applyFont="1"/>
  </cellXfs>
  <cellStyles count="3">
    <cellStyle name="Comma" xfId="1" builtinId="3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7D3153DB-B0CB-493B-902E-10531A9158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C2C7-1727-4322-B33F-EECB9C437B45}">
  <dimension ref="A1:K16"/>
  <sheetViews>
    <sheetView tabSelected="1" workbookViewId="0">
      <selection activeCell="I17" sqref="I17"/>
    </sheetView>
  </sheetViews>
  <sheetFormatPr defaultRowHeight="14.4" x14ac:dyDescent="0.3"/>
  <sheetData>
    <row r="1" spans="1:11" x14ac:dyDescent="0.3">
      <c r="B1" t="s">
        <v>2</v>
      </c>
      <c r="C1" t="s">
        <v>3</v>
      </c>
    </row>
    <row r="2" spans="1:11" x14ac:dyDescent="0.3">
      <c r="A2" t="s">
        <v>0</v>
      </c>
      <c r="B2">
        <v>9855</v>
      </c>
      <c r="C2" s="2">
        <f>B2/B4</f>
        <v>0.93913043478260871</v>
      </c>
    </row>
    <row r="3" spans="1:11" x14ac:dyDescent="0.3">
      <c r="A3" t="s">
        <v>1</v>
      </c>
      <c r="B3">
        <v>638.75</v>
      </c>
      <c r="C3" s="2">
        <f>B3/B4</f>
        <v>6.0869565217391307E-2</v>
      </c>
      <c r="J3">
        <v>1</v>
      </c>
      <c r="K3" t="s">
        <v>14</v>
      </c>
    </row>
    <row r="4" spans="1:11" x14ac:dyDescent="0.3">
      <c r="B4">
        <f>SUM(B2:B3)</f>
        <v>10493.75</v>
      </c>
      <c r="J4">
        <v>2</v>
      </c>
      <c r="K4" t="s">
        <v>15</v>
      </c>
    </row>
    <row r="5" spans="1:11" x14ac:dyDescent="0.3">
      <c r="J5">
        <v>3</v>
      </c>
      <c r="K5" t="s">
        <v>16</v>
      </c>
    </row>
    <row r="6" spans="1:11" x14ac:dyDescent="0.3">
      <c r="C6">
        <v>93.9</v>
      </c>
      <c r="D6">
        <v>6.1</v>
      </c>
      <c r="J6">
        <v>4</v>
      </c>
      <c r="K6" t="s">
        <v>17</v>
      </c>
    </row>
    <row r="7" spans="1:11" x14ac:dyDescent="0.3">
      <c r="C7" t="s">
        <v>8</v>
      </c>
      <c r="D7" t="s">
        <v>9</v>
      </c>
      <c r="J7">
        <v>5</v>
      </c>
      <c r="K7" t="s">
        <v>18</v>
      </c>
    </row>
    <row r="8" spans="1:11" x14ac:dyDescent="0.3">
      <c r="A8" t="s">
        <v>4</v>
      </c>
      <c r="B8">
        <v>1000</v>
      </c>
      <c r="C8">
        <f>$C$2*B8</f>
        <v>939.13043478260875</v>
      </c>
      <c r="D8">
        <f>$C$3*B8</f>
        <v>60.869565217391305</v>
      </c>
    </row>
    <row r="9" spans="1:11" x14ac:dyDescent="0.3">
      <c r="A9" t="s">
        <v>5</v>
      </c>
      <c r="B9">
        <v>2000</v>
      </c>
      <c r="C9">
        <f t="shared" ref="C9:C11" si="0">$C$2*B9</f>
        <v>1878.2608695652175</v>
      </c>
      <c r="D9">
        <f t="shared" ref="D9:D11" si="1">$C$3*B9</f>
        <v>121.73913043478261</v>
      </c>
    </row>
    <row r="10" spans="1:11" x14ac:dyDescent="0.3">
      <c r="A10" t="s">
        <v>6</v>
      </c>
      <c r="B10">
        <v>7500</v>
      </c>
      <c r="C10">
        <f t="shared" si="0"/>
        <v>7043.478260869565</v>
      </c>
      <c r="D10">
        <f t="shared" si="1"/>
        <v>456.52173913043481</v>
      </c>
    </row>
    <row r="11" spans="1:11" x14ac:dyDescent="0.3">
      <c r="A11" t="s">
        <v>7</v>
      </c>
      <c r="B11">
        <v>500</v>
      </c>
      <c r="C11">
        <f t="shared" si="0"/>
        <v>469.56521739130437</v>
      </c>
      <c r="D11">
        <f t="shared" si="1"/>
        <v>30.434782608695652</v>
      </c>
    </row>
    <row r="12" spans="1:11" x14ac:dyDescent="0.3">
      <c r="C12" s="3">
        <f>SUM(C8:C11)</f>
        <v>10330.434782608696</v>
      </c>
      <c r="D12" s="3">
        <f>SUM(D8:D11)</f>
        <v>669.56521739130437</v>
      </c>
    </row>
    <row r="13" spans="1:11" ht="43.2" x14ac:dyDescent="0.3">
      <c r="E13" t="s">
        <v>13</v>
      </c>
      <c r="F13" s="4" t="s">
        <v>19</v>
      </c>
      <c r="G13" s="4" t="s">
        <v>20</v>
      </c>
      <c r="H13" t="s">
        <v>21</v>
      </c>
      <c r="I13" t="s">
        <v>22</v>
      </c>
      <c r="J13" t="s">
        <v>23</v>
      </c>
      <c r="K13" t="s">
        <v>24</v>
      </c>
    </row>
    <row r="14" spans="1:11" x14ac:dyDescent="0.3">
      <c r="A14" s="3" t="s">
        <v>10</v>
      </c>
      <c r="B14">
        <v>2000</v>
      </c>
      <c r="C14" s="1">
        <f>B14/$B$2</f>
        <v>0.20294266869609334</v>
      </c>
      <c r="D14">
        <f>$C$12*C14</f>
        <v>2096.4860035735555</v>
      </c>
      <c r="E14">
        <v>10</v>
      </c>
      <c r="F14">
        <f>B14/E14</f>
        <v>200</v>
      </c>
      <c r="G14">
        <f>D14/E14</f>
        <v>209.64860035735555</v>
      </c>
      <c r="H14">
        <f>+F14+G14</f>
        <v>409.64860035735558</v>
      </c>
      <c r="I14" s="1">
        <v>0.15</v>
      </c>
      <c r="J14" s="5">
        <f>(H14*I14)</f>
        <v>61.447290053603332</v>
      </c>
      <c r="K14" s="5">
        <f>+H14+J14</f>
        <v>471.09589041095893</v>
      </c>
    </row>
    <row r="15" spans="1:11" x14ac:dyDescent="0.3">
      <c r="A15" s="3" t="s">
        <v>11</v>
      </c>
      <c r="B15">
        <v>5000</v>
      </c>
      <c r="C15" s="1">
        <f>B15/$B$2</f>
        <v>0.50735667174023336</v>
      </c>
      <c r="D15">
        <f>$C$12*C15</f>
        <v>5241.2150089338893</v>
      </c>
    </row>
    <row r="16" spans="1:11" x14ac:dyDescent="0.3">
      <c r="A16" s="3" t="s">
        <v>12</v>
      </c>
      <c r="B16">
        <v>2855</v>
      </c>
      <c r="C16" s="1">
        <f>B16/$B$2</f>
        <v>0.28970065956367325</v>
      </c>
      <c r="D16">
        <f>$C$12*C16</f>
        <v>2992.7337701012507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Nijam</dc:creator>
  <cp:lastModifiedBy>Nijam</cp:lastModifiedBy>
  <dcterms:created xsi:type="dcterms:W3CDTF">2025-12-13T08:13:14Z</dcterms:created>
  <dcterms:modified xsi:type="dcterms:W3CDTF">2025-12-13T08:31:38Z</dcterms:modified>
</cp:coreProperties>
</file>